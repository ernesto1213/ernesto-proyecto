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iz Rangel\Desktop\"/>
    </mc:Choice>
  </mc:AlternateContent>
  <xr:revisionPtr revIDLastSave="0" documentId="8_{7E8C85FD-2A2E-4555-BA06-64A4A2FB5D51}" xr6:coauthVersionLast="47" xr6:coauthVersionMax="47" xr10:uidLastSave="{00000000-0000-0000-0000-000000000000}"/>
  <bookViews>
    <workbookView xWindow="-108" yWindow="-108" windowWidth="23256" windowHeight="12456" activeTab="1" xr2:uid="{EC2672B6-AC1B-4333-BBAB-2F07098D012C}"/>
  </bookViews>
  <sheets>
    <sheet name="Información Sprints" sheetId="3" r:id="rId1"/>
    <sheet name="Backlog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F3" i="3" s="1"/>
  <c r="E4" i="3"/>
  <c r="F4" i="3" s="1"/>
  <c r="E5" i="3"/>
  <c r="F5" i="3" s="1"/>
  <c r="E6" i="3"/>
  <c r="F6" i="3" s="1"/>
  <c r="E7" i="3"/>
  <c r="F7" i="3" s="1"/>
  <c r="E2" i="3"/>
  <c r="F2" i="3" s="1"/>
  <c r="C9" i="1"/>
  <c r="D3" i="3"/>
  <c r="D4" i="3"/>
  <c r="D5" i="3"/>
  <c r="D6" i="3"/>
  <c r="D7" i="3"/>
  <c r="D2" i="3"/>
  <c r="C4" i="3"/>
  <c r="C5" i="3" s="1"/>
  <c r="C6" i="3" s="1"/>
  <c r="C7" i="3" s="1"/>
  <c r="C3" i="3"/>
  <c r="B3" i="3"/>
  <c r="B4" i="3" s="1"/>
  <c r="B5" i="3" s="1"/>
  <c r="B6" i="3" s="1"/>
  <c r="B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Francisco Esparza Arevalo</author>
  </authors>
  <commentList>
    <comment ref="A11" authorId="0" shapeId="0" xr:uid="{0CAAB075-400D-4989-9B48-7B4A82FB11E5}">
      <text>
        <r>
          <rPr>
            <b/>
            <sz val="9"/>
            <color indexed="81"/>
            <rFont val="Tahoma"/>
            <family val="2"/>
          </rPr>
          <t>Jose Francisco Esparza Arevalo:</t>
        </r>
        <r>
          <rPr>
            <sz val="9"/>
            <color indexed="81"/>
            <rFont val="Tahoma"/>
            <family val="2"/>
          </rPr>
          <t xml:space="preserve">
Identificador del requerimiento</t>
        </r>
      </text>
    </comment>
    <comment ref="B11" authorId="0" shapeId="0" xr:uid="{A833F6D3-4BBC-4C1D-93CC-7ACACB588E30}">
      <text>
        <r>
          <rPr>
            <b/>
            <sz val="9"/>
            <color indexed="81"/>
            <rFont val="Tahoma"/>
            <family val="2"/>
          </rPr>
          <t>Jose Francisco Esparza Arevalo:</t>
        </r>
        <r>
          <rPr>
            <sz val="9"/>
            <color indexed="81"/>
            <rFont val="Tahoma"/>
            <family val="2"/>
          </rPr>
          <t xml:space="preserve">
Descripción del requerimiento/historia a desarrollar
</t>
        </r>
      </text>
    </comment>
    <comment ref="C11" authorId="0" shapeId="0" xr:uid="{C311740F-3A10-4B70-8E62-1F90B104AF7D}">
      <text>
        <r>
          <rPr>
            <b/>
            <sz val="9"/>
            <color indexed="81"/>
            <rFont val="Tahoma"/>
            <family val="2"/>
          </rPr>
          <t>Jose Francisco Esparza Arevalo:</t>
        </r>
        <r>
          <rPr>
            <sz val="9"/>
            <color indexed="81"/>
            <rFont val="Tahoma"/>
            <family val="2"/>
          </rPr>
          <t xml:space="preserve">
Estatus del requerimiento/historia:
* Pendiente
* En progreso
* Terminado</t>
        </r>
      </text>
    </comment>
    <comment ref="D11" authorId="0" shapeId="0" xr:uid="{1C0BAE6A-1BA8-4725-B92B-8B410649D49F}">
      <text>
        <r>
          <rPr>
            <b/>
            <sz val="9"/>
            <color indexed="81"/>
            <rFont val="Tahoma"/>
            <family val="2"/>
          </rPr>
          <t>Jose Francisco Esparza Arevalo:</t>
        </r>
        <r>
          <rPr>
            <sz val="9"/>
            <color indexed="81"/>
            <rFont val="Tahoma"/>
            <family val="2"/>
          </rPr>
          <t xml:space="preserve">
Estimación a alto nivel del esfuerzo requerido, auque debe terminarse en el Sprint donde sea planeado</t>
        </r>
      </text>
    </comment>
    <comment ref="E11" authorId="0" shapeId="0" xr:uid="{64143031-295C-4C67-A7AF-09981B94377C}">
      <text>
        <r>
          <rPr>
            <b/>
            <sz val="9"/>
            <color indexed="81"/>
            <rFont val="Tahoma"/>
            <family val="2"/>
          </rPr>
          <t>Jose Francisco Esparza Arevalo:</t>
        </r>
        <r>
          <rPr>
            <sz val="9"/>
            <color indexed="81"/>
            <rFont val="Tahoma"/>
            <family val="2"/>
          </rPr>
          <t xml:space="preserve">
Nombre o numero de Sprint donde se esta desarrollando el requerimiento/historia</t>
        </r>
      </text>
    </comment>
    <comment ref="F11" authorId="0" shapeId="0" xr:uid="{D2EC9D92-764E-412F-8727-203581024040}">
      <text>
        <r>
          <rPr>
            <b/>
            <sz val="9"/>
            <color indexed="81"/>
            <rFont val="Tahoma"/>
            <family val="2"/>
          </rPr>
          <t>Jose Francisco Esparza Arevalo:</t>
        </r>
        <r>
          <rPr>
            <sz val="9"/>
            <color indexed="81"/>
            <rFont val="Tahoma"/>
            <family val="2"/>
          </rPr>
          <t xml:space="preserve">
* Alta
* Media
* Baja</t>
        </r>
      </text>
    </comment>
    <comment ref="G11" authorId="0" shapeId="0" xr:uid="{5367EC4E-1D5B-4E15-A465-7CA0CA0BDD3A}">
      <text>
        <r>
          <rPr>
            <b/>
            <sz val="9"/>
            <color indexed="81"/>
            <rFont val="Tahoma"/>
            <family val="2"/>
          </rPr>
          <t>Jose Francisco Esparza Arevalo:</t>
        </r>
        <r>
          <rPr>
            <sz val="9"/>
            <color indexed="81"/>
            <rFont val="Tahoma"/>
            <family val="2"/>
          </rPr>
          <t xml:space="preserve">
Nombre de la persona o personas que trabajaran en este requerimiento/historia</t>
        </r>
      </text>
    </comment>
    <comment ref="H11" authorId="0" shapeId="0" xr:uid="{FCAB415D-B13C-4784-BC6E-21E87E7C36C0}">
      <text>
        <r>
          <rPr>
            <b/>
            <sz val="9"/>
            <color indexed="81"/>
            <rFont val="Tahoma"/>
            <family val="2"/>
          </rPr>
          <t>Jose Francisco Esparza Arevalo:</t>
        </r>
        <r>
          <rPr>
            <sz val="9"/>
            <color indexed="81"/>
            <rFont val="Tahoma"/>
            <family val="2"/>
          </rPr>
          <t xml:space="preserve">
Notas relacionadas al requerimiento/historia</t>
        </r>
      </text>
    </comment>
  </commentList>
</comments>
</file>

<file path=xl/sharedStrings.xml><?xml version="1.0" encoding="utf-8"?>
<sst xmlns="http://schemas.openxmlformats.org/spreadsheetml/2006/main" count="64" uniqueCount="50">
  <si>
    <t>Identificador</t>
  </si>
  <si>
    <t>Historia / Requerimiento</t>
  </si>
  <si>
    <t>Estatus</t>
  </si>
  <si>
    <t>Esfuerzo estimado en hrs</t>
  </si>
  <si>
    <t>Sprint (Iteración)</t>
  </si>
  <si>
    <t>Prioridad</t>
  </si>
  <si>
    <t>Responsable</t>
  </si>
  <si>
    <t>Notas</t>
  </si>
  <si>
    <t>Nombre Sprint</t>
  </si>
  <si>
    <t>Fecha de Inicio</t>
  </si>
  <si>
    <t>Fecha Fin</t>
  </si>
  <si>
    <t>Total Requerimientos</t>
  </si>
  <si>
    <t>Sprint #1</t>
  </si>
  <si>
    <t>Sprint #2</t>
  </si>
  <si>
    <t>Sprint #3</t>
  </si>
  <si>
    <t>Sprint #4</t>
  </si>
  <si>
    <t>Sprint #5</t>
  </si>
  <si>
    <t>Sprint #6</t>
  </si>
  <si>
    <t>% Progreso Proyecto</t>
  </si>
  <si>
    <t>Integrantes:</t>
  </si>
  <si>
    <t>Req 01</t>
  </si>
  <si>
    <t>Pendiente</t>
  </si>
  <si>
    <t>Req 02</t>
  </si>
  <si>
    <t>Total Esfuerzo hrs</t>
  </si>
  <si>
    <t>Total Esfuerzo por Persona</t>
  </si>
  <si>
    <t xml:space="preserve">Nombre del proyecto/app: </t>
  </si>
  <si>
    <t>Req 03</t>
  </si>
  <si>
    <t>Req 04</t>
  </si>
  <si>
    <t>Req 05</t>
  </si>
  <si>
    <t>Req 06</t>
  </si>
  <si>
    <t>Alta</t>
  </si>
  <si>
    <t>Erick Aldair Velazquez García 21133</t>
  </si>
  <si>
    <t>Alexandra Lizeth Rodriguez Rangel 21120</t>
  </si>
  <si>
    <t>Ricardo Gael Briones Cantu 20970</t>
  </si>
  <si>
    <t>Ernesto Lopez Mota</t>
  </si>
  <si>
    <t>Terminado</t>
  </si>
  <si>
    <t>En Progreso</t>
  </si>
  <si>
    <t>Ernesto</t>
  </si>
  <si>
    <t>Capacitación interactiva: Acceso a módulos de formación con contenidos multimedia, ejercicios prácticos y evaluaciones en línea.</t>
  </si>
  <si>
    <t>Simulaciones con sensores IoT: Integración de entornos virtuales y simulados que permitan practicar maniobras operativas y de seguridad en escenarios realistas.</t>
  </si>
  <si>
    <t>Seguimiento personalizado: Registro del progreso de cada usuario con reportes detallados sobre su desempeño y áreas de mejora.</t>
  </si>
  <si>
    <t>Acceso multiplataforma: Disponibilidad de la aplicación en cualquier dispositivo (computadora, tableta o teléfono móvil) desde puertos y embarcaciones.</t>
  </si>
  <si>
    <t>Sistema de notificaciones: Alertas y recordatorios en tiempo real sobre capacitaciones, actualizaciones de contenido y avisos de seguridad.</t>
  </si>
  <si>
    <t>Difusión ciudadana: Sección destinada a informar y dar a conocer el trabajo de las fuerzas de México, fortaleciendo el vínculo con la población.</t>
  </si>
  <si>
    <t>Ernesto y Erick</t>
  </si>
  <si>
    <t>Ricardo</t>
  </si>
  <si>
    <t>Ernesto y Ricardo</t>
  </si>
  <si>
    <t>Alexandra y Erick</t>
  </si>
  <si>
    <t>Alexandra y Ricardo</t>
  </si>
  <si>
    <t>Marina Network - Aplicaciones WEB Progresivas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</si>
</sst>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72 Black"/>
      <family val="2"/>
    </font>
    <font>
      <sz val="8"/>
      <name val="Aptos Narrow"/>
      <family val="2"/>
      <scheme val="minor"/>
    </font>
    <font>
      <b/>
      <sz val="8"/>
      <color theme="1"/>
      <name val="Arial Black"/>
      <family val="2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5" fillId="0" borderId="1" xfId="0" applyFont="1" applyBorder="1"/>
    <xf numFmtId="0" fontId="0" fillId="3" borderId="1" xfId="0" applyFill="1" applyBorder="1"/>
    <xf numFmtId="0" fontId="6" fillId="3" borderId="1" xfId="0" applyFont="1" applyFill="1" applyBorder="1"/>
    <xf numFmtId="0" fontId="6" fillId="3" borderId="12" xfId="0" applyFont="1" applyFill="1" applyBorder="1"/>
    <xf numFmtId="0" fontId="0" fillId="3" borderId="13" xfId="0" applyFill="1" applyBorder="1"/>
    <xf numFmtId="0" fontId="0" fillId="3" borderId="14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0" fontId="6" fillId="3" borderId="1" xfId="1" applyNumberFormat="1" applyFont="1" applyFill="1" applyBorder="1"/>
    <xf numFmtId="0" fontId="0" fillId="0" borderId="1" xfId="0" applyBorder="1"/>
    <xf numFmtId="15" fontId="0" fillId="0" borderId="1" xfId="0" applyNumberFormat="1" applyBorder="1"/>
    <xf numFmtId="0" fontId="5" fillId="3" borderId="1" xfId="0" applyFont="1" applyFill="1" applyBorder="1"/>
    <xf numFmtId="0" fontId="5" fillId="4" borderId="1" xfId="0" applyFont="1" applyFill="1" applyBorder="1"/>
    <xf numFmtId="15" fontId="5" fillId="4" borderId="1" xfId="0" applyNumberFormat="1" applyFont="1" applyFill="1" applyBorder="1"/>
    <xf numFmtId="0" fontId="8" fillId="0" borderId="0" xfId="0" applyFont="1" applyAlignment="1">
      <alignment vertical="center"/>
    </xf>
    <xf numFmtId="0" fontId="8" fillId="0" borderId="0" xfId="0" applyFont="1"/>
    <xf numFmtId="0" fontId="0" fillId="0" borderId="13" xfId="0" applyBorder="1" applyAlignment="1">
      <alignment vertical="top" wrapText="1"/>
    </xf>
    <xf numFmtId="0" fontId="9" fillId="0" borderId="0" xfId="0" applyFont="1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9D415-9871-45C4-89EC-D5B05DD789DF}">
  <dimension ref="A1:F7"/>
  <sheetViews>
    <sheetView workbookViewId="0">
      <selection activeCell="F9" sqref="F9"/>
    </sheetView>
  </sheetViews>
  <sheetFormatPr baseColWidth="10" defaultColWidth="8.88671875" defaultRowHeight="14.4"/>
  <cols>
    <col min="1" max="1" width="13" bestFit="1" customWidth="1"/>
    <col min="2" max="2" width="13.5546875" bestFit="1" customWidth="1"/>
    <col min="3" max="3" width="9.33203125" bestFit="1" customWidth="1"/>
    <col min="4" max="4" width="18.77734375" bestFit="1" customWidth="1"/>
    <col min="5" max="5" width="15.44140625" bestFit="1" customWidth="1"/>
    <col min="6" max="6" width="22.77734375" bestFit="1" customWidth="1"/>
  </cols>
  <sheetData>
    <row r="1" spans="1:6">
      <c r="A1" s="4" t="s">
        <v>8</v>
      </c>
      <c r="B1" s="4" t="s">
        <v>9</v>
      </c>
      <c r="C1" s="4" t="s">
        <v>10</v>
      </c>
      <c r="D1" s="4" t="s">
        <v>11</v>
      </c>
      <c r="E1" s="4" t="s">
        <v>23</v>
      </c>
      <c r="F1" s="4" t="s">
        <v>24</v>
      </c>
    </row>
    <row r="2" spans="1:6">
      <c r="A2" s="21" t="s">
        <v>12</v>
      </c>
      <c r="B2" s="22">
        <v>45929</v>
      </c>
      <c r="C2" s="22">
        <v>45940</v>
      </c>
      <c r="D2" s="5">
        <f>COUNTIF(Backlog!$E$12:$E$54,'Información Sprints'!A2)</f>
        <v>1</v>
      </c>
      <c r="E2" s="5">
        <f>SUMIF(Backlog!$E$12:$E$54,'Información Sprints'!A2,Backlog!$D$12:$D$54)</f>
        <v>25</v>
      </c>
      <c r="F2" s="5">
        <f>IF(COUNTA(Backlog!$C$2:$C$7)=0,0,E2/COUNTA(Backlog!$C$2:$C$7))</f>
        <v>6.25</v>
      </c>
    </row>
    <row r="3" spans="1:6">
      <c r="A3" s="21" t="s">
        <v>13</v>
      </c>
      <c r="B3" s="22">
        <f>B2+14</f>
        <v>45943</v>
      </c>
      <c r="C3" s="22">
        <f>C2+14</f>
        <v>45954</v>
      </c>
      <c r="D3" s="5">
        <f>COUNTIF(Backlog!$E$12:$E$54,'Información Sprints'!A3)</f>
        <v>1</v>
      </c>
      <c r="E3" s="5">
        <f>SUMIF(Backlog!$E$12:$E$54,'Información Sprints'!A3,Backlog!$D$12:$D$54)</f>
        <v>30</v>
      </c>
      <c r="F3" s="5">
        <f>IF(COUNTA(Backlog!$C$2:$C$7)=0,0,E3/COUNTA(Backlog!$C$2:$C$7))</f>
        <v>7.5</v>
      </c>
    </row>
    <row r="4" spans="1:6">
      <c r="A4" s="21" t="s">
        <v>14</v>
      </c>
      <c r="B4" s="22">
        <f t="shared" ref="B4:B6" si="0">B3+14</f>
        <v>45957</v>
      </c>
      <c r="C4" s="22">
        <f t="shared" ref="C4:C6" si="1">C3+14</f>
        <v>45968</v>
      </c>
      <c r="D4" s="5">
        <f>COUNTIF(Backlog!$E$12:$E$54,'Información Sprints'!A4)</f>
        <v>1</v>
      </c>
      <c r="E4" s="5">
        <f>SUMIF(Backlog!$E$12:$E$54,'Información Sprints'!A4,Backlog!$D$12:$D$54)</f>
        <v>20</v>
      </c>
      <c r="F4" s="5">
        <f>IF(COUNTA(Backlog!$C$2:$C$7)=0,0,E4/COUNTA(Backlog!$C$2:$C$7))</f>
        <v>5</v>
      </c>
    </row>
    <row r="5" spans="1:6">
      <c r="A5" s="24" t="s">
        <v>15</v>
      </c>
      <c r="B5" s="25">
        <f t="shared" si="0"/>
        <v>45971</v>
      </c>
      <c r="C5" s="25">
        <f t="shared" si="1"/>
        <v>45982</v>
      </c>
      <c r="D5" s="23">
        <f>COUNTIF(Backlog!$E$12:$E$54,'Información Sprints'!A5)</f>
        <v>1</v>
      </c>
      <c r="E5" s="23">
        <f>SUMIF(Backlog!$E$12:$E$54,'Información Sprints'!A5,Backlog!$D$12:$D$54)</f>
        <v>20</v>
      </c>
      <c r="F5" s="23">
        <f>IF(COUNTA(Backlog!$C$2:$C$7)=0,0,E5/COUNTA(Backlog!$C$2:$C$7))</f>
        <v>5</v>
      </c>
    </row>
    <row r="6" spans="1:6">
      <c r="A6" s="21" t="s">
        <v>16</v>
      </c>
      <c r="B6" s="22">
        <f t="shared" si="0"/>
        <v>45985</v>
      </c>
      <c r="C6" s="22">
        <f t="shared" si="1"/>
        <v>45996</v>
      </c>
      <c r="D6" s="5">
        <f>COUNTIF(Backlog!$E$12:$E$54,'Información Sprints'!A6)</f>
        <v>1</v>
      </c>
      <c r="E6" s="5">
        <f>SUMIF(Backlog!$E$12:$E$54,'Información Sprints'!A6,Backlog!$D$12:$D$54)</f>
        <v>25</v>
      </c>
      <c r="F6" s="5">
        <f>IF(COUNTA(Backlog!$C$2:$C$7)=0,0,E6/COUNTA(Backlog!$C$2:$C$7))</f>
        <v>6.25</v>
      </c>
    </row>
    <row r="7" spans="1:6">
      <c r="A7" s="21" t="s">
        <v>17</v>
      </c>
      <c r="B7" s="22">
        <f t="shared" ref="B7" si="2">B6+14</f>
        <v>45999</v>
      </c>
      <c r="C7" s="22">
        <f t="shared" ref="C7" si="3">C6+14</f>
        <v>46010</v>
      </c>
      <c r="D7" s="5">
        <f>COUNTIF(Backlog!$E$12:$E$54,'Información Sprints'!A7)</f>
        <v>1</v>
      </c>
      <c r="E7" s="5">
        <f>SUMIF(Backlog!$E$12:$E$54,'Información Sprints'!A7,Backlog!$D$12:$D$54)</f>
        <v>15</v>
      </c>
      <c r="F7" s="5">
        <f>IF(COUNTA(Backlog!$C$2:$C$7)=0,0,E7/COUNTA(Backlog!$C$2:$C$7))</f>
        <v>3.75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BD224-0269-4C39-86AB-7245540C981E}">
  <dimension ref="A1:H54"/>
  <sheetViews>
    <sheetView showGridLines="0" tabSelected="1" workbookViewId="0">
      <selection activeCell="C1" sqref="C1"/>
    </sheetView>
  </sheetViews>
  <sheetFormatPr baseColWidth="10" defaultColWidth="8.88671875" defaultRowHeight="14.4"/>
  <cols>
    <col min="1" max="1" width="11.5546875" bestFit="1" customWidth="1"/>
    <col min="2" max="2" width="32.21875" customWidth="1"/>
    <col min="3" max="3" width="10.77734375" customWidth="1"/>
    <col min="4" max="4" width="25.21875" customWidth="1"/>
    <col min="5" max="5" width="18.5546875" customWidth="1"/>
    <col min="6" max="7" width="13.5546875" customWidth="1"/>
    <col min="8" max="8" width="32.5546875" customWidth="1"/>
  </cols>
  <sheetData>
    <row r="1" spans="1:8">
      <c r="A1" s="3"/>
      <c r="B1" s="6" t="s">
        <v>25</v>
      </c>
      <c r="C1" s="10" t="s">
        <v>49</v>
      </c>
      <c r="D1" s="11"/>
      <c r="E1" s="11"/>
      <c r="F1" s="12"/>
    </row>
    <row r="2" spans="1:8">
      <c r="A2" s="3"/>
      <c r="B2" s="7" t="s">
        <v>19</v>
      </c>
      <c r="C2" s="26" t="s">
        <v>31</v>
      </c>
      <c r="D2" s="13"/>
      <c r="E2" s="13"/>
      <c r="F2" s="14"/>
    </row>
    <row r="3" spans="1:8">
      <c r="B3" s="8"/>
      <c r="C3" s="26" t="s">
        <v>32</v>
      </c>
      <c r="F3" s="16"/>
    </row>
    <row r="4" spans="1:8">
      <c r="B4" s="8"/>
      <c r="C4" s="26" t="s">
        <v>33</v>
      </c>
      <c r="F4" s="16"/>
    </row>
    <row r="5" spans="1:8">
      <c r="B5" s="8"/>
      <c r="C5" s="27" t="s">
        <v>34</v>
      </c>
      <c r="F5" s="16"/>
    </row>
    <row r="6" spans="1:8">
      <c r="B6" s="8"/>
      <c r="C6" s="15"/>
      <c r="F6" s="16"/>
    </row>
    <row r="7" spans="1:8">
      <c r="B7" s="9"/>
      <c r="C7" s="17"/>
      <c r="D7" s="18"/>
      <c r="E7" s="18"/>
      <c r="F7" s="19"/>
    </row>
    <row r="9" spans="1:8">
      <c r="A9" s="3"/>
      <c r="B9" s="6" t="s">
        <v>18</v>
      </c>
      <c r="C9" s="20">
        <f>IF(SUM(D12:D54)=0,0,SUMIF(C12:C54,"Terminado",D12:D54)/SUM(D12:D54))</f>
        <v>0.18518518518518517</v>
      </c>
    </row>
    <row r="11" spans="1:8" ht="28.8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</row>
    <row r="12" spans="1:8" ht="57.6">
      <c r="A12" s="2" t="s">
        <v>20</v>
      </c>
      <c r="B12" s="2" t="s">
        <v>38</v>
      </c>
      <c r="C12" s="2" t="s">
        <v>35</v>
      </c>
      <c r="D12" s="2">
        <v>25</v>
      </c>
      <c r="E12" s="2" t="s">
        <v>12</v>
      </c>
      <c r="F12" s="2" t="s">
        <v>30</v>
      </c>
      <c r="G12" s="2" t="s">
        <v>37</v>
      </c>
      <c r="H12" s="2"/>
    </row>
    <row r="13" spans="1:8" ht="76.2" customHeight="1">
      <c r="A13" s="2" t="s">
        <v>22</v>
      </c>
      <c r="B13" s="29" t="s">
        <v>39</v>
      </c>
      <c r="C13" s="2" t="s">
        <v>36</v>
      </c>
      <c r="D13" s="2">
        <v>30</v>
      </c>
      <c r="E13" s="2" t="s">
        <v>13</v>
      </c>
      <c r="F13" s="2" t="s">
        <v>30</v>
      </c>
      <c r="G13" s="2" t="s">
        <v>44</v>
      </c>
      <c r="H13" s="2"/>
    </row>
    <row r="14" spans="1:8" ht="57.6">
      <c r="A14" s="2" t="s">
        <v>26</v>
      </c>
      <c r="B14" s="2" t="s">
        <v>40</v>
      </c>
      <c r="C14" s="2" t="s">
        <v>21</v>
      </c>
      <c r="D14" s="2">
        <v>20</v>
      </c>
      <c r="E14" s="21" t="s">
        <v>14</v>
      </c>
      <c r="F14" s="2" t="s">
        <v>30</v>
      </c>
      <c r="G14" s="2" t="s">
        <v>45</v>
      </c>
      <c r="H14" s="2"/>
    </row>
    <row r="15" spans="1:8" ht="72">
      <c r="A15" s="2" t="s">
        <v>27</v>
      </c>
      <c r="B15" s="2" t="s">
        <v>41</v>
      </c>
      <c r="C15" s="2" t="s">
        <v>21</v>
      </c>
      <c r="D15" s="2">
        <v>20</v>
      </c>
      <c r="E15" s="2" t="s">
        <v>15</v>
      </c>
      <c r="F15" s="2" t="s">
        <v>30</v>
      </c>
      <c r="G15" s="2" t="s">
        <v>46</v>
      </c>
      <c r="H15" s="2"/>
    </row>
    <row r="16" spans="1:8" ht="57.6">
      <c r="A16" s="2" t="s">
        <v>28</v>
      </c>
      <c r="B16" s="2" t="s">
        <v>42</v>
      </c>
      <c r="C16" s="2" t="s">
        <v>21</v>
      </c>
      <c r="D16" s="2">
        <v>25</v>
      </c>
      <c r="E16" s="2" t="s">
        <v>16</v>
      </c>
      <c r="F16" s="2" t="s">
        <v>30</v>
      </c>
      <c r="G16" s="2" t="s">
        <v>47</v>
      </c>
      <c r="H16" s="2"/>
    </row>
    <row r="17" spans="1:8" ht="72">
      <c r="A17" s="2" t="s">
        <v>29</v>
      </c>
      <c r="B17" s="28" t="s">
        <v>43</v>
      </c>
      <c r="C17" s="2" t="s">
        <v>21</v>
      </c>
      <c r="D17" s="2">
        <v>15</v>
      </c>
      <c r="E17" s="2" t="s">
        <v>17</v>
      </c>
      <c r="F17" s="2" t="s">
        <v>30</v>
      </c>
      <c r="G17" s="2" t="s">
        <v>48</v>
      </c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2"/>
      <c r="B50" s="2"/>
      <c r="C50" s="2"/>
      <c r="D50" s="2"/>
      <c r="E50" s="2"/>
      <c r="F50" s="2"/>
      <c r="G50" s="2"/>
      <c r="H50" s="2"/>
    </row>
    <row r="51" spans="1:8">
      <c r="A51" s="2"/>
      <c r="B51" s="2"/>
      <c r="C51" s="2"/>
      <c r="D51" s="2"/>
      <c r="E51" s="2"/>
      <c r="F51" s="2"/>
      <c r="G51" s="2"/>
      <c r="H51" s="2"/>
    </row>
    <row r="52" spans="1:8">
      <c r="A52" s="2"/>
      <c r="B52" s="2"/>
      <c r="C52" s="2"/>
      <c r="D52" s="2"/>
      <c r="E52" s="2"/>
      <c r="F52" s="2"/>
      <c r="G52" s="2"/>
      <c r="H52" s="2"/>
    </row>
    <row r="53" spans="1:8">
      <c r="A53" s="2"/>
      <c r="B53" s="2"/>
      <c r="C53" s="2"/>
      <c r="D53" s="2"/>
      <c r="E53" s="2"/>
      <c r="F53" s="2"/>
      <c r="G53" s="2"/>
      <c r="H53" s="2"/>
    </row>
    <row r="54" spans="1:8">
      <c r="A54" s="2"/>
      <c r="B54" s="2"/>
      <c r="C54" s="2"/>
      <c r="D54" s="2"/>
      <c r="E54" s="2"/>
      <c r="F54" s="2"/>
      <c r="G54" s="2"/>
      <c r="H54" s="2"/>
    </row>
  </sheetData>
  <phoneticPr fontId="7" type="noConversion"/>
  <dataValidations count="2">
    <dataValidation type="list" allowBlank="1" showInputMessage="1" showErrorMessage="1" sqref="C12:C54" xr:uid="{1D1E2315-7DF1-420F-AED1-C52F5848344C}">
      <formula1>"Pendiente, En Progreso, Terminado, Cancelado"</formula1>
    </dataValidation>
    <dataValidation type="list" allowBlank="1" showInputMessage="1" showErrorMessage="1" sqref="F12:F54" xr:uid="{8D027888-B935-48EB-A350-CD73BD6C5B9C}">
      <formula1>"Alta, Media, Baja"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2C88D0-8493-4F4B-986E-7B2238381A10}">
          <x14:formula1>
            <xm:f>'Información Sprints'!$A$2:$A$7</xm:f>
          </x14:formula1>
          <xm:sqref>E12:E54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EDE9B222D840A42B6383EE710F70D14" ma:contentTypeVersion="1" ma:contentTypeDescription="Crear nuevo documento." ma:contentTypeScope="" ma:versionID="0e7c2f7590d4f183b4ab4ae12cbbaa35">
  <xsd:schema xmlns:xsd="http://www.w3.org/2001/XMLSchema" xmlns:xs="http://www.w3.org/2001/XMLSchema" xmlns:p="http://schemas.microsoft.com/office/2006/metadata/properties" xmlns:ns2="d5c0387a-86ce-4ed1-a4a4-c80090aa481a" targetNamespace="http://schemas.microsoft.com/office/2006/metadata/properties" ma:root="true" ma:fieldsID="543e10a22c90b47deeac75aa8473072d" ns2:_="">
    <xsd:import namespace="d5c0387a-86ce-4ed1-a4a4-c80090aa481a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c0387a-86ce-4ed1-a4a4-c80090aa481a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d5c0387a-86ce-4ed1-a4a4-c80090aa481a" xsi:nil="true"/>
  </documentManagement>
</p:properties>
</file>

<file path=customXml/itemProps1.xml><?xml version="1.0" encoding="utf-8"?>
<ds:datastoreItem xmlns:ds="http://schemas.openxmlformats.org/officeDocument/2006/customXml" ds:itemID="{17A07BAA-8DB1-4393-9D47-E413DA2356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c0387a-86ce-4ed1-a4a4-c80090aa48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0F4325-AF1A-42BB-B7E4-A8F1B1AA6E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CB366A-4C18-458D-BA00-5CE9F81A5D3C}">
  <ds:schemaRefs>
    <ds:schemaRef ds:uri="http://schemas.microsoft.com/office/2006/metadata/properties"/>
    <ds:schemaRef ds:uri="http://schemas.microsoft.com/office/infopath/2007/PartnerControls"/>
    <ds:schemaRef ds:uri="213b2d84-3d9b-4b3f-804d-aac06d647ac8"/>
    <ds:schemaRef ds:uri="d5c0387a-86ce-4ed1-a4a4-c80090aa481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Información Sprints</vt:lpstr>
      <vt:lpstr>Backlog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Francisco Esparza Arevalo</dc:creator>
  <cp:keywords/>
  <dc:description/>
  <cp:lastModifiedBy>Lizeth Rodriguez</cp:lastModifiedBy>
  <cp:revision/>
  <dcterms:created xsi:type="dcterms:W3CDTF">2024-06-10T23:39:25Z</dcterms:created>
  <dcterms:modified xsi:type="dcterms:W3CDTF">2025-10-09T04:45:48Z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0x0101006EDE9B222D840A42B6383EE710F70D14</vt:lpwstr>
  </property>
  <property fmtid="{D5CDD505-2E9C-101B-9397-08002B2CF9AE}" pid="3" name="Order">
    <vt:r8>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